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umptions" sheetId="2" state="visible" r:id="rId4"/>
    <sheet name="Pipeline Tracker" sheetId="3" state="visible" r:id="rId5"/>
    <sheet name="Summary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<sst xmlns="http://schemas.openxmlformats.org/spreadsheetml/2006/main" count="106" uniqueCount="83">
  <si>
    <t xml:space="preserve">Pipeline Forecast Model</t>
  </si>
  <si>
    <t xml:space="preserve">Auto-recalculating forecasted fill dates from candidate pipeline stage changes</t>
  </si>
  <si>
    <t xml:space="preserve">How this works</t>
  </si>
  <si>
    <t xml:space="preserve">This workbook forecasts a fill date for each open requisition using the level's historical average time-to-fill and how long the req has been open. As the ATS accumulates cleaner stage-level data over time, the Assumptions tab can be refined to forecast off remaining stages rather than total elapsed time.</t>
  </si>
  <si>
    <t xml:space="preserve">Tabs</t>
  </si>
  <si>
    <t xml:space="preserve">Assumptions</t>
  </si>
  <si>
    <t xml:space="preserve">Tunable inputs: historical average time-to-fill by level, and a placeholder stage-timeline split for future stage-level forecasting. Edit the blue cells as better data comes in.</t>
  </si>
  <si>
    <t xml:space="preserve">Pipeline Tracker</t>
  </si>
  <si>
    <t xml:space="preserve">One row per open req. Enter the blue input cells; the forecasted fill date, % through the estimated timeline, and confidence label recalculate automatically.</t>
  </si>
  <si>
    <t xml:space="preserve">Summary Dashboard</t>
  </si>
  <si>
    <t xml:space="preserve">Roll-up view across all open reqs for finance/exec visibility: count by confidence, earliest/latest forecasted fill dates, average forecasted fill date.</t>
  </si>
  <si>
    <t xml:space="preserve">Color legend</t>
  </si>
  <si>
    <t xml:space="preserve">Blue text</t>
  </si>
  <si>
    <t xml:space="preserve">input cell, edit freely</t>
  </si>
  <si>
    <t xml:space="preserve">Yellow fill</t>
  </si>
  <si>
    <t xml:space="preserve">key assumption to review/update</t>
  </si>
  <si>
    <t xml:space="preserve">Black text</t>
  </si>
  <si>
    <t xml:space="preserve">formula, do not overwrite</t>
  </si>
  <si>
    <t xml:space="preserve">Overall time-to-fill by level is the only figure trustworthy enough to forecast on today. Stage-level splits below are placeholders for once ATS stage data is reliable.</t>
  </si>
  <si>
    <t xml:space="preserve">Historical Average Time-to-Fill by Level</t>
  </si>
  <si>
    <t xml:space="preserve">Level</t>
  </si>
  <si>
    <t xml:space="preserve">Avg Time-to-Fill (Days)</t>
  </si>
  <si>
    <t xml:space="preserve">Data Confidence Note</t>
  </si>
  <si>
    <t xml:space="preserve">Associate</t>
  </si>
  <si>
    <t xml:space="preserve">Based on overall ATS time-to-fill; ATS adoption still inconsistent</t>
  </si>
  <si>
    <t xml:space="preserve">Senior Associate</t>
  </si>
  <si>
    <t xml:space="preserve">Manager / Senior Manager</t>
  </si>
  <si>
    <t xml:space="preserve">Director / Principal</t>
  </si>
  <si>
    <t xml:space="preserve">Based on overall ATS time-to-fill; limited sample size</t>
  </si>
  <si>
    <t xml:space="preserve">Senior Leadership</t>
  </si>
  <si>
    <t xml:space="preserve">Directional estimate; very limited sample size</t>
  </si>
  <si>
    <t xml:space="preserve">Placeholder Stage-Timeline Split (for future stage-level forecasting)</t>
  </si>
  <si>
    <t xml:space="preserve">Not used in current forecast formulas — retained here so the Pipeline Tracker can be upgraded to stage-level forecasting once stage-duration data is reliable.</t>
  </si>
  <si>
    <t xml:space="preserve">Stage</t>
  </si>
  <si>
    <t xml:space="preserve">% of Total Timeline (placeholder)</t>
  </si>
  <si>
    <t xml:space="preserve">Sourcing / Screening</t>
  </si>
  <si>
    <t xml:space="preserve">Hiring Manager Interview</t>
  </si>
  <si>
    <t xml:space="preserve">Final Round</t>
  </si>
  <si>
    <t xml:space="preserve">Offer / Close</t>
  </si>
  <si>
    <t xml:space="preserve">Enter/update the blue cells for each open req. Forecasted fill date, % through timeline, and confidence recalculate automatically.</t>
  </si>
  <si>
    <t xml:space="preserve">Req ID</t>
  </si>
  <si>
    <t xml:space="preserve">Role</t>
  </si>
  <si>
    <t xml:space="preserve">Location</t>
  </si>
  <si>
    <t xml:space="preserve">Hiring Manager</t>
  </si>
  <si>
    <t xml:space="preserve">Req Open Date</t>
  </si>
  <si>
    <t xml:space="preserve">Current Stage</t>
  </si>
  <si>
    <t xml:space="preserve">Last Stage Change Date</t>
  </si>
  <si>
    <t xml:space="preserve">Days Elapsed</t>
  </si>
  <si>
    <t xml:space="preserve">Avg Time-to-Fill (Level)</t>
  </si>
  <si>
    <t xml:space="preserve">Remaining Days (Est.)</t>
  </si>
  <si>
    <t xml:space="preserve">Forecasted Fill Date</t>
  </si>
  <si>
    <t xml:space="preserve">% Through Est. Timeline</t>
  </si>
  <si>
    <t xml:space="preserve">Confidence</t>
  </si>
  <si>
    <t xml:space="preserve">PC-2601</t>
  </si>
  <si>
    <t xml:space="preserve">Principal, Client CIO</t>
  </si>
  <si>
    <t xml:space="preserve">New York, NY</t>
  </si>
  <si>
    <t xml:space="preserve">Rich Scarinci</t>
  </si>
  <si>
    <t xml:space="preserve">HM Interview</t>
  </si>
  <si>
    <t xml:space="preserve">PC-2602</t>
  </si>
  <si>
    <t xml:space="preserve">Senior Associate, Data Engineer</t>
  </si>
  <si>
    <t xml:space="preserve">Boston, MA</t>
  </si>
  <si>
    <t xml:space="preserve">TBD</t>
  </si>
  <si>
    <t xml:space="preserve">Sourcing</t>
  </si>
  <si>
    <t xml:space="preserve">PC-2603</t>
  </si>
  <si>
    <t xml:space="preserve">Senior Associate, Operational Due Diligence</t>
  </si>
  <si>
    <t xml:space="preserve">PC-2604</t>
  </si>
  <si>
    <t xml:space="preserve">Trade and Treasury Operations Associate</t>
  </si>
  <si>
    <t xml:space="preserve">Screening</t>
  </si>
  <si>
    <t xml:space="preserve">PC-2605</t>
  </si>
  <si>
    <t xml:space="preserve">KYC Senior Associate</t>
  </si>
  <si>
    <t xml:space="preserve">PC-2606</t>
  </si>
  <si>
    <t xml:space="preserve">Senior Manager, Software Engineering</t>
  </si>
  <si>
    <t xml:space="preserve">Roll-up view for finance/exec visibility across all open reqs</t>
  </si>
  <si>
    <t xml:space="preserve">Open Reqs Overview</t>
  </si>
  <si>
    <t xml:space="preserve">Total Open Reqs</t>
  </si>
  <si>
    <t xml:space="preserve">Earliest Forecasted Fill Date</t>
  </si>
  <si>
    <t xml:space="preserve">Latest Forecasted Fill Date</t>
  </si>
  <si>
    <t xml:space="preserve">Average Forecasted Fill Date</t>
  </si>
  <si>
    <t xml:space="preserve">Reqs by Confidence</t>
  </si>
  <si>
    <t xml:space="preserve">High</t>
  </si>
  <si>
    <t xml:space="preserve">Medium</t>
  </si>
  <si>
    <t xml:space="preserve">Low</t>
  </si>
  <si>
    <t xml:space="preserve">Note: figures pull live from the Pipeline Tracker tab. Add new reqs there and this dashboard updates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</si>
</sst>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mm/dd/yyyy"/>
    <numFmt numFmtId="167" formatCode="0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A5A5A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A5A5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</row>
    <row r="6" customFormat="false" ht="35.05" hidden="false" customHeight="true" outlineLevel="0" collapsed="false">
      <c r="B6" s="4" t="s">
        <v>3</v>
      </c>
      <c r="C6" s="4"/>
      <c r="D6" s="4"/>
      <c r="E6" s="4"/>
      <c r="F6" s="4"/>
    </row>
    <row r="7" customFormat="false" ht="15" hidden="false" customHeight="false" outlineLevel="0" collapsed="false">
      <c r="B7" s="4"/>
      <c r="C7" s="4"/>
      <c r="D7" s="4"/>
      <c r="E7" s="4"/>
      <c r="F7" s="4"/>
    </row>
    <row r="8" customFormat="false" ht="15" hidden="false" customHeight="true" outlineLevel="0" collapsed="false">
      <c r="B8" s="3" t="s">
        <v>4</v>
      </c>
      <c r="C8" s="3"/>
      <c r="D8" s="3"/>
      <c r="E8" s="3"/>
      <c r="F8" s="3"/>
    </row>
    <row r="9" customFormat="false" ht="15" hidden="false" customHeight="false" outlineLevel="0" collapsed="false">
      <c r="B9" s="5" t="s">
        <v>5</v>
      </c>
    </row>
    <row r="10" customFormat="false" ht="23.85" hidden="false" customHeight="true" outlineLevel="0" collapsed="false">
      <c r="B10" s="4" t="s">
        <v>6</v>
      </c>
      <c r="C10" s="4"/>
      <c r="D10" s="4"/>
      <c r="E10" s="4"/>
      <c r="F10" s="4"/>
    </row>
    <row r="11" customFormat="false" ht="15" hidden="false" customHeight="false" outlineLevel="0" collapsed="false">
      <c r="B11" s="5" t="s">
        <v>7</v>
      </c>
    </row>
    <row r="12" customFormat="false" ht="23.85" hidden="false" customHeight="true" outlineLevel="0" collapsed="false">
      <c r="B12" s="4" t="s">
        <v>8</v>
      </c>
      <c r="C12" s="4"/>
      <c r="D12" s="4"/>
      <c r="E12" s="4"/>
      <c r="F12" s="4"/>
    </row>
    <row r="13" customFormat="false" ht="15" hidden="false" customHeight="false" outlineLevel="0" collapsed="false">
      <c r="B13" s="5" t="s">
        <v>9</v>
      </c>
    </row>
    <row r="14" customFormat="false" ht="23.85" hidden="false" customHeight="true" outlineLevel="0" collapsed="false">
      <c r="B14" s="4" t="s">
        <v>10</v>
      </c>
      <c r="C14" s="4"/>
      <c r="D14" s="4"/>
      <c r="E14" s="4"/>
      <c r="F14" s="4"/>
    </row>
    <row r="15" customFormat="false" ht="15" hidden="false" customHeight="false" outlineLevel="0" collapsed="false">
      <c r="B15" s="4"/>
      <c r="C15" s="4"/>
      <c r="D15" s="4"/>
      <c r="E15" s="4"/>
      <c r="F15" s="4"/>
    </row>
    <row r="16" customFormat="false" ht="15" hidden="false" customHeight="true" outlineLevel="0" collapsed="false">
      <c r="B16" s="3" t="s">
        <v>11</v>
      </c>
      <c r="C16" s="3"/>
      <c r="D16" s="3"/>
      <c r="E16" s="3"/>
      <c r="F16" s="3"/>
    </row>
    <row r="18" customFormat="false" ht="15" hidden="false" customHeight="false" outlineLevel="0" collapsed="false">
      <c r="B18" s="6" t="s">
        <v>12</v>
      </c>
      <c r="C18" s="7" t="s">
        <v>13</v>
      </c>
    </row>
    <row r="19" customFormat="false" ht="15" hidden="false" customHeight="false" outlineLevel="0" collapsed="false">
      <c r="B19" s="8" t="s">
        <v>14</v>
      </c>
      <c r="C19" s="7" t="s">
        <v>15</v>
      </c>
    </row>
    <row r="20" customFormat="false" ht="15" hidden="false" customHeight="false" outlineLevel="0" collapsed="false">
      <c r="B20" s="9" t="s">
        <v>16</v>
      </c>
      <c r="C20" s="7" t="s">
        <v>17</v>
      </c>
    </row>
  </sheetData>
  <mergeCells count="9">
    <mergeCell ref="B5:F5"/>
    <mergeCell ref="B6:F6"/>
    <mergeCell ref="B7:F7"/>
    <mergeCell ref="B8:F8"/>
    <mergeCell ref="B10:F10"/>
    <mergeCell ref="B12:F12"/>
    <mergeCell ref="B14:F14"/>
    <mergeCell ref="B15:F15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8" min="5" style="0" width="10"/>
  </cols>
  <sheetData>
    <row r="2" customFormat="false" ht="17.35" hidden="false" customHeight="false" outlineLevel="0" collapsed="false">
      <c r="B2" s="1" t="s">
        <v>5</v>
      </c>
    </row>
    <row r="3" customFormat="false" ht="30" hidden="false" customHeight="true" outlineLevel="0" collapsed="false">
      <c r="B3" s="10" t="s">
        <v>18</v>
      </c>
      <c r="C3" s="10"/>
      <c r="D3" s="10"/>
      <c r="E3" s="10"/>
      <c r="F3" s="10"/>
      <c r="G3" s="10"/>
      <c r="H3" s="10"/>
    </row>
    <row r="6" customFormat="false" ht="15" hidden="false" customHeight="false" outlineLevel="0" collapsed="false">
      <c r="B6" s="11" t="s">
        <v>19</v>
      </c>
    </row>
    <row r="7" customFormat="false" ht="15" hidden="false" customHeight="false" outlineLevel="0" collapsed="false">
      <c r="B7" s="12" t="s">
        <v>20</v>
      </c>
      <c r="C7" s="12" t="s">
        <v>21</v>
      </c>
      <c r="D7" s="12" t="s">
        <v>22</v>
      </c>
    </row>
    <row r="8" customFormat="false" ht="22.35" hidden="false" customHeight="false" outlineLevel="0" collapsed="false">
      <c r="B8" s="13" t="s">
        <v>23</v>
      </c>
      <c r="C8" s="14" t="n">
        <v>45</v>
      </c>
      <c r="D8" s="15" t="s">
        <v>24</v>
      </c>
    </row>
    <row r="9" customFormat="false" ht="22.35" hidden="false" customHeight="false" outlineLevel="0" collapsed="false">
      <c r="B9" s="13" t="s">
        <v>25</v>
      </c>
      <c r="C9" s="14" t="n">
        <v>60</v>
      </c>
      <c r="D9" s="15" t="s">
        <v>24</v>
      </c>
    </row>
    <row r="10" customFormat="false" ht="22.35" hidden="false" customHeight="false" outlineLevel="0" collapsed="false">
      <c r="B10" s="13" t="s">
        <v>26</v>
      </c>
      <c r="C10" s="14" t="n">
        <v>75</v>
      </c>
      <c r="D10" s="15" t="s">
        <v>24</v>
      </c>
    </row>
    <row r="11" customFormat="false" ht="15" hidden="false" customHeight="false" outlineLevel="0" collapsed="false">
      <c r="B11" s="13" t="s">
        <v>27</v>
      </c>
      <c r="C11" s="14" t="n">
        <v>90</v>
      </c>
      <c r="D11" s="15" t="s">
        <v>28</v>
      </c>
    </row>
    <row r="12" customFormat="false" ht="15" hidden="false" customHeight="false" outlineLevel="0" collapsed="false">
      <c r="B12" s="13" t="s">
        <v>29</v>
      </c>
      <c r="C12" s="14" t="n">
        <v>120</v>
      </c>
      <c r="D12" s="15" t="s">
        <v>30</v>
      </c>
    </row>
    <row r="15" customFormat="false" ht="15" hidden="false" customHeight="false" outlineLevel="0" collapsed="false">
      <c r="B15" s="11" t="s">
        <v>31</v>
      </c>
    </row>
    <row r="16" customFormat="false" ht="15" hidden="false" customHeight="true" outlineLevel="0" collapsed="false">
      <c r="B16" s="16" t="s">
        <v>32</v>
      </c>
      <c r="C16" s="16"/>
      <c r="D16" s="16"/>
      <c r="E16" s="16"/>
      <c r="F16" s="16"/>
      <c r="G16" s="16"/>
      <c r="H16" s="16"/>
    </row>
    <row r="17" customFormat="false" ht="23.85" hidden="false" customHeight="false" outlineLevel="0" collapsed="false">
      <c r="B17" s="12" t="s">
        <v>33</v>
      </c>
      <c r="C17" s="12" t="s">
        <v>34</v>
      </c>
    </row>
    <row r="18" customFormat="false" ht="15" hidden="false" customHeight="false" outlineLevel="0" collapsed="false">
      <c r="B18" s="13" t="s">
        <v>35</v>
      </c>
      <c r="C18" s="17" t="n">
        <v>0.35</v>
      </c>
    </row>
    <row r="19" customFormat="false" ht="15" hidden="false" customHeight="false" outlineLevel="0" collapsed="false">
      <c r="B19" s="13" t="s">
        <v>36</v>
      </c>
      <c r="C19" s="17" t="n">
        <v>0.25</v>
      </c>
    </row>
    <row r="20" customFormat="false" ht="15" hidden="false" customHeight="false" outlineLevel="0" collapsed="false">
      <c r="B20" s="13" t="s">
        <v>37</v>
      </c>
      <c r="C20" s="17" t="n">
        <v>0.2</v>
      </c>
    </row>
    <row r="21" customFormat="false" ht="15" hidden="false" customHeight="false" outlineLevel="0" collapsed="false">
      <c r="B21" s="13" t="s">
        <v>38</v>
      </c>
      <c r="C21" s="17" t="n">
        <v>0.2</v>
      </c>
    </row>
  </sheetData>
  <mergeCells count="2">
    <mergeCell ref="B3:H3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0"/>
  </cols>
  <sheetData>
    <row r="2" customFormat="false" ht="17.35" hidden="false" customHeight="false" outlineLevel="0" collapsed="false">
      <c r="B2" s="1" t="s">
        <v>7</v>
      </c>
    </row>
    <row r="3" customFormat="false" ht="15" hidden="false" customHeight="true" outlineLevel="0" collapsed="false">
      <c r="B3" s="10" t="s">
        <v>39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customFormat="false" ht="31.5" hidden="false" customHeight="true" outlineLevel="0" collapsed="false">
      <c r="B5" s="12" t="s">
        <v>40</v>
      </c>
      <c r="C5" s="12" t="s">
        <v>41</v>
      </c>
      <c r="D5" s="12" t="s">
        <v>20</v>
      </c>
      <c r="E5" s="12" t="s">
        <v>42</v>
      </c>
      <c r="F5" s="12" t="s">
        <v>43</v>
      </c>
      <c r="G5" s="12" t="s">
        <v>44</v>
      </c>
      <c r="H5" s="12" t="s">
        <v>45</v>
      </c>
      <c r="I5" s="12" t="s">
        <v>46</v>
      </c>
      <c r="J5" s="12" t="s">
        <v>47</v>
      </c>
      <c r="K5" s="12" t="s">
        <v>48</v>
      </c>
      <c r="L5" s="12" t="s">
        <v>49</v>
      </c>
      <c r="M5" s="12" t="s">
        <v>50</v>
      </c>
      <c r="N5" s="12" t="s">
        <v>51</v>
      </c>
      <c r="O5" s="12" t="s">
        <v>52</v>
      </c>
    </row>
    <row r="6" customFormat="false" ht="15" hidden="false" customHeight="false" outlineLevel="0" collapsed="false">
      <c r="B6" s="18" t="s">
        <v>53</v>
      </c>
      <c r="C6" s="18" t="s">
        <v>54</v>
      </c>
      <c r="D6" s="18" t="s">
        <v>27</v>
      </c>
      <c r="E6" s="18" t="s">
        <v>55</v>
      </c>
      <c r="F6" s="18" t="s">
        <v>56</v>
      </c>
      <c r="G6" s="19" t="n">
        <v>46223</v>
      </c>
      <c r="H6" s="18" t="s">
        <v>57</v>
      </c>
      <c r="I6" s="19" t="n">
        <v>46259</v>
      </c>
      <c r="J6" s="20" t="n">
        <f aca="true">TODAY()-G6</f>
        <v>56</v>
      </c>
      <c r="K6" s="20" t="n">
        <f aca="false">IFERROR(INDEX(Assumptions!$C$8:$C$12,MATCH(D6,Assumptions!$B$8:$B$12,0)),"")</f>
        <v>90</v>
      </c>
      <c r="L6" s="20" t="n">
        <f aca="false">IF(K6="","",MAX(K6-J6,5))</f>
        <v>34</v>
      </c>
      <c r="M6" s="21" t="n">
        <f aca="true">IF(L6="","",TODAY()+L6)</f>
        <v>46313</v>
      </c>
      <c r="N6" s="22" t="n">
        <f aca="false">IF(K6="","",MIN(J6/K6,1))</f>
        <v>0.622222222222222</v>
      </c>
      <c r="O6" s="23" t="str">
        <f aca="false">IF(K6="","",IF(N6&gt;=0.6,"High",IF(N6&gt;=0.25,"Medium","Low")))</f>
        <v>High</v>
      </c>
    </row>
    <row r="7" customFormat="false" ht="15" hidden="false" customHeight="false" outlineLevel="0" collapsed="false">
      <c r="B7" s="18" t="s">
        <v>58</v>
      </c>
      <c r="C7" s="18" t="s">
        <v>59</v>
      </c>
      <c r="D7" s="18" t="s">
        <v>25</v>
      </c>
      <c r="E7" s="18" t="s">
        <v>60</v>
      </c>
      <c r="F7" s="18" t="s">
        <v>61</v>
      </c>
      <c r="G7" s="19" t="n">
        <v>46237</v>
      </c>
      <c r="H7" s="18" t="s">
        <v>62</v>
      </c>
      <c r="I7" s="19" t="n">
        <v>46273</v>
      </c>
      <c r="J7" s="20" t="n">
        <f aca="true">TODAY()-G7</f>
        <v>42</v>
      </c>
      <c r="K7" s="20" t="n">
        <f aca="false">IFERROR(INDEX(Assumptions!$C$8:$C$12,MATCH(D7,Assumptions!$B$8:$B$12,0)),"")</f>
        <v>60</v>
      </c>
      <c r="L7" s="20" t="n">
        <f aca="false">IF(K7="","",MAX(K7-J7,5))</f>
        <v>18</v>
      </c>
      <c r="M7" s="21" t="n">
        <f aca="true">IF(L7="","",TODAY()+L7)</f>
        <v>46297</v>
      </c>
      <c r="N7" s="22" t="n">
        <f aca="false">IF(K7="","",MIN(J7/K7,1))</f>
        <v>0.7</v>
      </c>
      <c r="O7" s="23" t="str">
        <f aca="false">IF(K7="","",IF(N7&gt;=0.6,"High",IF(N7&gt;=0.25,"Medium","Low")))</f>
        <v>High</v>
      </c>
    </row>
    <row r="8" customFormat="false" ht="23.85" hidden="false" customHeight="false" outlineLevel="0" collapsed="false">
      <c r="B8" s="18" t="s">
        <v>63</v>
      </c>
      <c r="C8" s="18" t="s">
        <v>64</v>
      </c>
      <c r="D8" s="18" t="s">
        <v>25</v>
      </c>
      <c r="E8" s="18" t="s">
        <v>60</v>
      </c>
      <c r="F8" s="18" t="s">
        <v>61</v>
      </c>
      <c r="G8" s="19" t="n">
        <v>46230</v>
      </c>
      <c r="H8" s="18" t="s">
        <v>62</v>
      </c>
      <c r="I8" s="19" t="n">
        <v>46266</v>
      </c>
      <c r="J8" s="20" t="n">
        <f aca="true">TODAY()-G8</f>
        <v>49</v>
      </c>
      <c r="K8" s="20" t="n">
        <f aca="false">IFERROR(INDEX(Assumptions!$C$8:$C$12,MATCH(D8,Assumptions!$B$8:$B$12,0)),"")</f>
        <v>60</v>
      </c>
      <c r="L8" s="20" t="n">
        <f aca="false">IF(K8="","",MAX(K8-J8,5))</f>
        <v>11</v>
      </c>
      <c r="M8" s="21" t="n">
        <f aca="true">IF(L8="","",TODAY()+L8)</f>
        <v>46290</v>
      </c>
      <c r="N8" s="22" t="n">
        <f aca="false">IF(K8="","",MIN(J8/K8,1))</f>
        <v>0.816666666666667</v>
      </c>
      <c r="O8" s="23" t="str">
        <f aca="false">IF(K8="","",IF(N8&gt;=0.6,"High",IF(N8&gt;=0.25,"Medium","Low")))</f>
        <v>High</v>
      </c>
    </row>
    <row r="9" customFormat="false" ht="23.85" hidden="false" customHeight="false" outlineLevel="0" collapsed="false">
      <c r="B9" s="18" t="s">
        <v>65</v>
      </c>
      <c r="C9" s="18" t="s">
        <v>66</v>
      </c>
      <c r="D9" s="18" t="s">
        <v>23</v>
      </c>
      <c r="E9" s="18" t="s">
        <v>60</v>
      </c>
      <c r="F9" s="18" t="s">
        <v>61</v>
      </c>
      <c r="G9" s="19" t="n">
        <v>46244</v>
      </c>
      <c r="H9" s="18" t="s">
        <v>67</v>
      </c>
      <c r="I9" s="19" t="n">
        <v>46270</v>
      </c>
      <c r="J9" s="20" t="n">
        <f aca="true">TODAY()-G9</f>
        <v>35</v>
      </c>
      <c r="K9" s="20" t="n">
        <f aca="false">IFERROR(INDEX(Assumptions!$C$8:$C$12,MATCH(D9,Assumptions!$B$8:$B$12,0)),"")</f>
        <v>45</v>
      </c>
      <c r="L9" s="20" t="n">
        <f aca="false">IF(K9="","",MAX(K9-J9,5))</f>
        <v>10</v>
      </c>
      <c r="M9" s="21" t="n">
        <f aca="true">IF(L9="","",TODAY()+L9)</f>
        <v>46289</v>
      </c>
      <c r="N9" s="22" t="n">
        <f aca="false">IF(K9="","",MIN(J9/K9,1))</f>
        <v>0.777777777777778</v>
      </c>
      <c r="O9" s="23" t="str">
        <f aca="false">IF(K9="","",IF(N9&gt;=0.6,"High",IF(N9&gt;=0.25,"Medium","Low")))</f>
        <v>High</v>
      </c>
    </row>
    <row r="10" customFormat="false" ht="15" hidden="false" customHeight="false" outlineLevel="0" collapsed="false">
      <c r="B10" s="18" t="s">
        <v>68</v>
      </c>
      <c r="C10" s="18" t="s">
        <v>69</v>
      </c>
      <c r="D10" s="18" t="s">
        <v>25</v>
      </c>
      <c r="E10" s="18" t="s">
        <v>60</v>
      </c>
      <c r="F10" s="18" t="s">
        <v>61</v>
      </c>
      <c r="G10" s="19" t="n">
        <v>46251</v>
      </c>
      <c r="H10" s="18" t="s">
        <v>62</v>
      </c>
      <c r="I10" s="19" t="n">
        <v>46275</v>
      </c>
      <c r="J10" s="20" t="n">
        <f aca="true">TODAY()-G10</f>
        <v>28</v>
      </c>
      <c r="K10" s="20" t="n">
        <f aca="false">IFERROR(INDEX(Assumptions!$C$8:$C$12,MATCH(D10,Assumptions!$B$8:$B$12,0)),"")</f>
        <v>60</v>
      </c>
      <c r="L10" s="20" t="n">
        <f aca="false">IF(K10="","",MAX(K10-J10,5))</f>
        <v>32</v>
      </c>
      <c r="M10" s="21" t="n">
        <f aca="true">IF(L10="","",TODAY()+L10)</f>
        <v>46311</v>
      </c>
      <c r="N10" s="22" t="n">
        <f aca="false">IF(K10="","",MIN(J10/K10,1))</f>
        <v>0.466666666666667</v>
      </c>
      <c r="O10" s="23" t="str">
        <f aca="false">IF(K10="","",IF(N10&gt;=0.6,"High",IF(N10&gt;=0.25,"Medium","Low")))</f>
        <v>Medium</v>
      </c>
    </row>
    <row r="11" customFormat="false" ht="23.85" hidden="false" customHeight="false" outlineLevel="0" collapsed="false">
      <c r="B11" s="18" t="s">
        <v>70</v>
      </c>
      <c r="C11" s="18" t="s">
        <v>71</v>
      </c>
      <c r="D11" s="18" t="s">
        <v>26</v>
      </c>
      <c r="E11" s="18" t="s">
        <v>60</v>
      </c>
      <c r="F11" s="18" t="s">
        <v>61</v>
      </c>
      <c r="G11" s="19" t="n">
        <v>46216</v>
      </c>
      <c r="H11" s="18" t="s">
        <v>37</v>
      </c>
      <c r="I11" s="19" t="n">
        <v>46274</v>
      </c>
      <c r="J11" s="20" t="n">
        <f aca="true">TODAY()-G11</f>
        <v>63</v>
      </c>
      <c r="K11" s="20" t="n">
        <f aca="false">IFERROR(INDEX(Assumptions!$C$8:$C$12,MATCH(D11,Assumptions!$B$8:$B$12,0)),"")</f>
        <v>75</v>
      </c>
      <c r="L11" s="20" t="n">
        <f aca="false">IF(K11="","",MAX(K11-J11,5))</f>
        <v>12</v>
      </c>
      <c r="M11" s="21" t="n">
        <f aca="true">IF(L11="","",TODAY()+L11)</f>
        <v>46291</v>
      </c>
      <c r="N11" s="22" t="n">
        <f aca="false">IF(K11="","",MIN(J11/K11,1))</f>
        <v>0.84</v>
      </c>
      <c r="O11" s="23" t="str">
        <f aca="false">IF(K11="","",IF(N11&gt;=0.6,"High",IF(N11&gt;=0.25,"Medium","Low")))</f>
        <v>High</v>
      </c>
    </row>
    <row r="12" customFormat="false" ht="15" hidden="false" customHeight="false" outlineLevel="0" collapsed="false">
      <c r="B12" s="24"/>
      <c r="C12" s="24"/>
      <c r="D12" s="24"/>
      <c r="E12" s="24"/>
      <c r="F12" s="24"/>
      <c r="G12" s="24"/>
      <c r="H12" s="24"/>
      <c r="I12" s="24"/>
      <c r="J12" s="20" t="str">
        <f aca="true">IF(G12="","",TODAY()-G12)</f>
        <v/>
      </c>
      <c r="K12" s="20" t="str">
        <f aca="false">IFERROR(INDEX(Assumptions!$C$8:$C$12,MATCH(D12,Assumptions!$B$8:$B$12,0)),"")</f>
        <v/>
      </c>
      <c r="L12" s="20" t="str">
        <f aca="false">IF(OR(G12="",K12=""),"",MAX(K12-J12,5))</f>
        <v/>
      </c>
      <c r="M12" s="21" t="str">
        <f aca="true">IF(L12="","",TODAY()+L12)</f>
        <v/>
      </c>
      <c r="N12" s="22" t="str">
        <f aca="false">IF(OR(K12="",K12=0),"",MIN(J12/K12,1))</f>
        <v/>
      </c>
      <c r="O12" s="23" t="str">
        <f aca="false">IF(N12="","",IF(N12&gt;=0.6,"High",IF(N12&gt;=0.25,"Medium","Low")))</f>
        <v/>
      </c>
    </row>
    <row r="13" customFormat="false" ht="15" hidden="false" customHeight="false" outlineLevel="0" collapsed="false">
      <c r="B13" s="24"/>
      <c r="C13" s="24"/>
      <c r="D13" s="24"/>
      <c r="E13" s="24"/>
      <c r="F13" s="24"/>
      <c r="G13" s="24"/>
      <c r="H13" s="24"/>
      <c r="I13" s="24"/>
      <c r="J13" s="20" t="str">
        <f aca="true">IF(G13="","",TODAY()-G13)</f>
        <v/>
      </c>
      <c r="K13" s="20" t="str">
        <f aca="false">IFERROR(INDEX(Assumptions!$C$8:$C$12,MATCH(D13,Assumptions!$B$8:$B$12,0)),"")</f>
        <v/>
      </c>
      <c r="L13" s="20" t="str">
        <f aca="false">IF(OR(G13="",K13=""),"",MAX(K13-J13,5))</f>
        <v/>
      </c>
      <c r="M13" s="21" t="str">
        <f aca="true">IF(L13="","",TODAY()+L13)</f>
        <v/>
      </c>
      <c r="N13" s="22" t="str">
        <f aca="false">IF(OR(K13="",K13=0),"",MIN(J13/K13,1))</f>
        <v/>
      </c>
      <c r="O13" s="23" t="str">
        <f aca="false">IF(N13="","",IF(N13&gt;=0.6,"High",IF(N13&gt;=0.25,"Medium","Low")))</f>
        <v/>
      </c>
    </row>
    <row r="14" customFormat="false" ht="15" hidden="false" customHeight="false" outlineLevel="0" collapsed="false">
      <c r="B14" s="24"/>
      <c r="C14" s="24"/>
      <c r="D14" s="24"/>
      <c r="E14" s="24"/>
      <c r="F14" s="24"/>
      <c r="G14" s="24"/>
      <c r="H14" s="24"/>
      <c r="I14" s="24"/>
      <c r="J14" s="20" t="str">
        <f aca="true">IF(G14="","",TODAY()-G14)</f>
        <v/>
      </c>
      <c r="K14" s="20" t="str">
        <f aca="false">IFERROR(INDEX(Assumptions!$C$8:$C$12,MATCH(D14,Assumptions!$B$8:$B$12,0)),"")</f>
        <v/>
      </c>
      <c r="L14" s="20" t="str">
        <f aca="false">IF(OR(G14="",K14=""),"",MAX(K14-J14,5))</f>
        <v/>
      </c>
      <c r="M14" s="21" t="str">
        <f aca="true">IF(L14="","",TODAY()+L14)</f>
        <v/>
      </c>
      <c r="N14" s="22" t="str">
        <f aca="false">IF(OR(K14="",K14=0),"",MIN(J14/K14,1))</f>
        <v/>
      </c>
      <c r="O14" s="23" t="str">
        <f aca="false">IF(N14="","",IF(N14&gt;=0.6,"High",IF(N14&gt;=0.25,"Medium","Low")))</f>
        <v/>
      </c>
    </row>
    <row r="15" customFormat="false" ht="15" hidden="false" customHeight="false" outlineLevel="0" collapsed="false">
      <c r="B15" s="24"/>
      <c r="C15" s="24"/>
      <c r="D15" s="24"/>
      <c r="E15" s="24"/>
      <c r="F15" s="24"/>
      <c r="G15" s="24"/>
      <c r="H15" s="24"/>
      <c r="I15" s="24"/>
      <c r="J15" s="20" t="str">
        <f aca="true">IF(G15="","",TODAY()-G15)</f>
        <v/>
      </c>
      <c r="K15" s="20" t="str">
        <f aca="false">IFERROR(INDEX(Assumptions!$C$8:$C$12,MATCH(D15,Assumptions!$B$8:$B$12,0)),"")</f>
        <v/>
      </c>
      <c r="L15" s="20" t="str">
        <f aca="false">IF(OR(G15="",K15=""),"",MAX(K15-J15,5))</f>
        <v/>
      </c>
      <c r="M15" s="21" t="str">
        <f aca="true">IF(L15="","",TODAY()+L15)</f>
        <v/>
      </c>
      <c r="N15" s="22" t="str">
        <f aca="false">IF(OR(K15="",K15=0),"",MIN(J15/K15,1))</f>
        <v/>
      </c>
      <c r="O15" s="23" t="str">
        <f aca="false">IF(N15="","",IF(N15&gt;=0.6,"High",IF(N15&gt;=0.25,"Medium","Low")))</f>
        <v/>
      </c>
    </row>
  </sheetData>
  <mergeCells count="1">
    <mergeCell ref="B3:N3"/>
  </mergeCells>
  <conditionalFormatting sqref="O6:O15">
    <cfRule type="expression" priority="2" aboveAverage="0" equalAverage="0" bottom="0" percent="0" rank="0" text="" dxfId="0">
      <formula>$O6="High"</formula>
    </cfRule>
    <cfRule type="expression" priority="3" aboveAverage="0" equalAverage="0" bottom="0" percent="0" rank="0" text="" dxfId="1">
      <formula>$O6="Medium"</formula>
    </cfRule>
    <cfRule type="expression" priority="4" aboveAverage="0" equalAverage="0" bottom="0" percent="0" rank="0" text="" dxfId="2">
      <formula>$O6="Low"</formula>
    </cfRule>
  </conditionalFormatting>
  <dataValidations count="2">
    <dataValidation allowBlank="true" errorStyle="stop" operator="between" showDropDown="false" showErrorMessage="false" showInputMessage="false" sqref="H6:H15" type="list">
      <formula1>"Sourcing,Screening,HM Interview,Final Round,Offer,Closed - Filled,Closed - Cancelled"</formula1>
      <formula2>0</formula2>
    </dataValidation>
    <dataValidation allowBlank="true" errorStyle="stop" operator="between" showDropDown="false" showErrorMessage="false" showInputMessage="false" sqref="D6:D15" type="list">
      <formula1>Assumptions!$B$8:$B$12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6" min="5" style="0" width="10"/>
  </cols>
  <sheetData>
    <row r="2" customFormat="false" ht="17.35" hidden="false" customHeight="false" outlineLevel="0" collapsed="false">
      <c r="B2" s="1" t="s">
        <v>9</v>
      </c>
    </row>
    <row r="3" customFormat="false" ht="15" hidden="false" customHeight="false" outlineLevel="0" collapsed="false">
      <c r="B3" s="2" t="s">
        <v>72</v>
      </c>
    </row>
    <row r="6" customFormat="false" ht="15" hidden="false" customHeight="false" outlineLevel="0" collapsed="false">
      <c r="B6" s="11" t="s">
        <v>73</v>
      </c>
    </row>
    <row r="7" customFormat="false" ht="15" hidden="false" customHeight="false" outlineLevel="0" collapsed="false">
      <c r="B7" s="25" t="s">
        <v>74</v>
      </c>
      <c r="C7" s="24"/>
      <c r="D7" s="26" t="n">
        <f aca="false">COUNTIF('Pipeline Tracker'!B6:B15,"&lt;&gt;")</f>
        <v>6</v>
      </c>
    </row>
    <row r="8" customFormat="false" ht="15" hidden="false" customHeight="false" outlineLevel="0" collapsed="false">
      <c r="B8" s="25" t="s">
        <v>75</v>
      </c>
      <c r="C8" s="24"/>
      <c r="D8" s="21" t="n">
        <f aca="false">IFERROR(MIN('Pipeline Tracker'!M6:M15),"")</f>
        <v>46289</v>
      </c>
    </row>
    <row r="9" customFormat="false" ht="15" hidden="false" customHeight="false" outlineLevel="0" collapsed="false">
      <c r="B9" s="25" t="s">
        <v>76</v>
      </c>
      <c r="C9" s="24"/>
      <c r="D9" s="21" t="n">
        <f aca="false">IFERROR(MAX('Pipeline Tracker'!M6:M15),"")</f>
        <v>46313</v>
      </c>
    </row>
    <row r="10" customFormat="false" ht="15" hidden="false" customHeight="false" outlineLevel="0" collapsed="false">
      <c r="B10" s="25" t="s">
        <v>77</v>
      </c>
      <c r="C10" s="24"/>
      <c r="D10" s="21" t="n">
        <f aca="false">IFERROR(AVERAGE('Pipeline Tracker'!M6:M15),"")</f>
        <v>46298.5</v>
      </c>
    </row>
    <row r="13" customFormat="false" ht="15" hidden="false" customHeight="false" outlineLevel="0" collapsed="false">
      <c r="B13" s="11" t="s">
        <v>78</v>
      </c>
    </row>
    <row r="14" customFormat="false" ht="15" hidden="false" customHeight="false" outlineLevel="0" collapsed="false">
      <c r="B14" s="27" t="s">
        <v>79</v>
      </c>
      <c r="C14" s="24"/>
      <c r="D14" s="26" t="n">
        <f aca="false">COUNTIF('Pipeline Tracker'!O6:O15,"High")</f>
        <v>5</v>
      </c>
    </row>
    <row r="15" customFormat="false" ht="15" hidden="false" customHeight="false" outlineLevel="0" collapsed="false">
      <c r="B15" s="28" t="s">
        <v>80</v>
      </c>
      <c r="C15" s="24"/>
      <c r="D15" s="26" t="n">
        <f aca="false">COUNTIF('Pipeline Tracker'!O6:O15,"Medium")</f>
        <v>1</v>
      </c>
    </row>
    <row r="16" customFormat="false" ht="15" hidden="false" customHeight="false" outlineLevel="0" collapsed="false">
      <c r="B16" s="29" t="s">
        <v>81</v>
      </c>
      <c r="C16" s="24"/>
      <c r="D16" s="26" t="n">
        <f aca="false">COUNTIF('Pipeline Tracker'!O6:O15,"Low")</f>
        <v>0</v>
      </c>
    </row>
    <row r="19" customFormat="false" ht="22.35" hidden="false" customHeight="true" outlineLevel="0" collapsed="false">
      <c r="B19" s="16" t="s">
        <v>82</v>
      </c>
      <c r="C19" s="16"/>
      <c r="D19" s="16"/>
      <c r="E19" s="16"/>
      <c r="F19" s="16"/>
    </row>
  </sheetData>
  <mergeCells count="1"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2026-09-14T12:26:37Z</dcterms:created>
  <dc:creator>openpyxl</dc:creator>
  <dc:description/>
  <dc:language>en-US</dc:language>
  <cp:lastModifiedBy/>
  <dcterms:modified xsi:type="dcterms:W3CDTF">2026-09-14T12:26:37Z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